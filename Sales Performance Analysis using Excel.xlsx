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birp\OneDrive\文档\"/>
    </mc:Choice>
  </mc:AlternateContent>
  <xr:revisionPtr revIDLastSave="0" documentId="8_{79DF62B8-F5DC-467C-AAA9-6CEE035AA98B}" xr6:coauthVersionLast="47" xr6:coauthVersionMax="47" xr10:uidLastSave="{00000000-0000-0000-0000-000000000000}"/>
  <bookViews>
    <workbookView xWindow="-108" yWindow="-108" windowWidth="23256" windowHeight="12456" xr2:uid="{63C73167-7E89-456C-9E23-A95ECB23D7E4}"/>
  </bookViews>
  <sheets>
    <sheet name="MAIN_Data" sheetId="1" r:id="rId1"/>
    <sheet name="Bar chart " sheetId="3" r:id="rId2"/>
    <sheet name="Pie chart" sheetId="4" r:id="rId3"/>
  </sheet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1" l="1"/>
  <c r="J21" i="1"/>
  <c r="J2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3" i="1"/>
  <c r="I3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3" i="1"/>
</calcChain>
</file>

<file path=xl/sharedStrings.xml><?xml version="1.0" encoding="utf-8"?>
<sst xmlns="http://schemas.openxmlformats.org/spreadsheetml/2006/main" count="84" uniqueCount="27">
  <si>
    <t>Sales Performance Analysis using Excel</t>
  </si>
  <si>
    <t>Date</t>
  </si>
  <si>
    <t>Product</t>
  </si>
  <si>
    <t>Category</t>
  </si>
  <si>
    <t>Region</t>
  </si>
  <si>
    <t>Sales</t>
  </si>
  <si>
    <t>Quantity</t>
  </si>
  <si>
    <t>Laptop</t>
  </si>
  <si>
    <t>Electronics</t>
  </si>
  <si>
    <t>East</t>
  </si>
  <si>
    <t>Mobile</t>
  </si>
  <si>
    <t>West</t>
  </si>
  <si>
    <t>Chair</t>
  </si>
  <si>
    <t>Furniture</t>
  </si>
  <si>
    <t>North</t>
  </si>
  <si>
    <t>Table</t>
  </si>
  <si>
    <t>South</t>
  </si>
  <si>
    <t>Headphone</t>
  </si>
  <si>
    <t>Total Value</t>
  </si>
  <si>
    <t xml:space="preserve">SUM
</t>
  </si>
  <si>
    <t>AVERAGE</t>
  </si>
  <si>
    <t>Sales Status</t>
  </si>
  <si>
    <t>Row Labels</t>
  </si>
  <si>
    <t>Grand Total</t>
  </si>
  <si>
    <t>Sum of Sales</t>
  </si>
  <si>
    <t>Sum of Quantity</t>
  </si>
  <si>
    <t>Sum of 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</si>
</sst>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0" fontId="1" fillId="0" borderId="0" xfId="0" applyFont="1" applyAlignment="1">
      <alignment horizontal="center" wrapText="1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using Excel.xlsx]Bar chart 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u="sng"/>
              <a:t>Sales by Category</a:t>
            </a:r>
          </a:p>
        </c:rich>
      </c:tx>
      <c:layout>
        <c:manualLayout>
          <c:xMode val="edge"/>
          <c:yMode val="edge"/>
          <c:x val="0.39788190811812857"/>
          <c:y val="2.86298950458908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991907261592303"/>
          <c:y val="0.34126932050160397"/>
          <c:w val="0.61952537182852141"/>
          <c:h val="0.607804753572470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'Bar chart 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 '!$A$4:$A$6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'Bar chart '!$B$4:$B$6</c:f>
              <c:numCache>
                <c:formatCode>"₹"\ #,##0.00</c:formatCode>
                <c:ptCount val="2"/>
                <c:pt idx="0">
                  <c:v>360000</c:v>
                </c:pt>
                <c:pt idx="1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D4B-82E5-3769A460B298}"/>
            </c:ext>
          </c:extLst>
        </c:ser>
        <c:ser>
          <c:idx val="1"/>
          <c:order val="1"/>
          <c:tx>
            <c:strRef>
              <c:f>'Bar chart 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 '!$A$4:$A$6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'Bar chart '!$C$4:$C$6</c:f>
              <c:numCache>
                <c:formatCode>General</c:formatCode>
                <c:ptCount val="2"/>
                <c:pt idx="0">
                  <c:v>42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D4B-82E5-3769A460B29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96354575"/>
        <c:axId val="1896355055"/>
      </c:barChart>
      <c:catAx>
        <c:axId val="1896354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355055"/>
        <c:crosses val="autoZero"/>
        <c:auto val="1"/>
        <c:lblAlgn val="ctr"/>
        <c:lblOffset val="100"/>
        <c:noMultiLvlLbl val="0"/>
      </c:catAx>
      <c:valAx>
        <c:axId val="1896355055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89635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9541141273424739E-2"/>
          <c:y val="0.16346987525435724"/>
          <c:w val="0.34863535287255754"/>
          <c:h val="0.1210198291687527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using Excel.xlsx]Pie chart!PivotTable2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Sales by Region</a:t>
            </a:r>
            <a:endParaRPr lang="en-US"/>
          </a:p>
        </c:rich>
      </c:tx>
      <c:layout>
        <c:manualLayout>
          <c:xMode val="edge"/>
          <c:yMode val="edge"/>
          <c:x val="0.329999915196384"/>
          <c:y val="1.6977434033763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104007394875316"/>
          <c:y val="0.14893320287626768"/>
          <c:w val="0.55128011058391535"/>
          <c:h val="0.80767429219276587"/>
        </c:manualLayout>
      </c:layout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1DA-4F53-8666-16C0D7127E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'Pie chart'!$B$4:$B$8</c:f>
              <c:numCache>
                <c:formatCode>"₹"\ #,##0.00</c:formatCode>
                <c:ptCount val="4"/>
                <c:pt idx="0">
                  <c:v>301000</c:v>
                </c:pt>
                <c:pt idx="1">
                  <c:v>328000</c:v>
                </c:pt>
                <c:pt idx="2">
                  <c:v>158000</c:v>
                </c:pt>
                <c:pt idx="3">
                  <c:v>239000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A-4F53-8666-16C0D7127EA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1</xdr:row>
      <xdr:rowOff>3810</xdr:rowOff>
    </xdr:from>
    <xdr:to>
      <xdr:col>13</xdr:col>
      <xdr:colOff>45720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C56132-A4DD-043B-0A73-3BE834346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0</xdr:row>
      <xdr:rowOff>163830</xdr:rowOff>
    </xdr:from>
    <xdr:to>
      <xdr:col>10</xdr:col>
      <xdr:colOff>144780</xdr:colOff>
      <xdr:row>18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DD598A-9848-E2E6-934D-D7F0AE0ED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r Pramanick" refreshedDate="46051.84557662037" createdVersion="8" refreshedVersion="8" minRefreshableVersion="3" recordCount="20" xr:uid="{F773A086-1BBA-4E57-BA0C-31A6918088E1}">
  <cacheSource type="worksheet">
    <worksheetSource ref="A2:J22" sheet="MAIN_Data"/>
  </cacheSource>
  <cacheFields count="10">
    <cacheField name="Date" numFmtId="14">
      <sharedItems containsSemiMixedTypes="0" containsNonDate="0" containsDate="1" containsString="0" minDate="2024-01-01T00:00:00" maxDate="2024-01-21T00:00:00" count="2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</sharedItems>
    </cacheField>
    <cacheField name="Product" numFmtId="0">
      <sharedItems/>
    </cacheField>
    <cacheField name="Category" numFmtId="0">
      <sharedItems count="2">
        <s v="Electronics"/>
        <s v="Furniture"/>
      </sharedItems>
    </cacheField>
    <cacheField name="Region" numFmtId="0">
      <sharedItems count="4">
        <s v="East"/>
        <s v="West"/>
        <s v="North"/>
        <s v="South"/>
      </sharedItems>
    </cacheField>
    <cacheField name="Sales" numFmtId="166">
      <sharedItems containsSemiMixedTypes="0" containsString="0" containsNumber="1" containsInteger="1" minValue="5000" maxValue="55000"/>
    </cacheField>
    <cacheField name="Quantity" numFmtId="0">
      <sharedItems containsSemiMixedTypes="0" containsString="0" containsNumber="1" containsInteger="1" minValue="1" maxValue="10"/>
    </cacheField>
    <cacheField name="Total Value" numFmtId="166">
      <sharedItems containsSemiMixedTypes="0" containsString="0" containsNumber="1" containsInteger="1" minValue="12000" maxValue="120000"/>
    </cacheField>
    <cacheField name="SUM_x000a__x000a_" numFmtId="166">
      <sharedItems containsString="0" containsBlank="1" containsNumber="1" containsInteger="1" minValue="440000" maxValue="440000"/>
    </cacheField>
    <cacheField name="AVERAGE" numFmtId="0">
      <sharedItems containsString="0" containsBlank="1" containsNumber="1" containsInteger="1" minValue="22000" maxValue="22000"/>
    </cacheField>
    <cacheField name="Sales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Laptop"/>
    <x v="0"/>
    <x v="0"/>
    <n v="55000"/>
    <n v="2"/>
    <n v="110000"/>
    <n v="440000"/>
    <n v="22000"/>
    <s v="High"/>
  </r>
  <r>
    <x v="1"/>
    <s v="Mobile"/>
    <x v="0"/>
    <x v="1"/>
    <n v="30000"/>
    <n v="3"/>
    <n v="90000"/>
    <m/>
    <m/>
    <s v="High"/>
  </r>
  <r>
    <x v="2"/>
    <s v="Chair"/>
    <x v="1"/>
    <x v="2"/>
    <n v="8000"/>
    <n v="4"/>
    <n v="32000"/>
    <m/>
    <m/>
    <s v="High"/>
  </r>
  <r>
    <x v="3"/>
    <s v="Table"/>
    <x v="1"/>
    <x v="3"/>
    <n v="12000"/>
    <n v="2"/>
    <n v="24000"/>
    <m/>
    <m/>
    <s v="Low"/>
  </r>
  <r>
    <x v="4"/>
    <s v="Headphone"/>
    <x v="0"/>
    <x v="0"/>
    <n v="5000"/>
    <n v="5"/>
    <n v="25000"/>
    <m/>
    <m/>
    <s v="Low"/>
  </r>
  <r>
    <x v="5"/>
    <s v="Laptop"/>
    <x v="0"/>
    <x v="1"/>
    <n v="55000"/>
    <n v="1"/>
    <n v="55000"/>
    <m/>
    <m/>
    <s v="Low"/>
  </r>
  <r>
    <x v="6"/>
    <s v="Chair"/>
    <x v="1"/>
    <x v="0"/>
    <n v="8000"/>
    <n v="2"/>
    <n v="16000"/>
    <m/>
    <m/>
    <s v="High"/>
  </r>
  <r>
    <x v="7"/>
    <s v="Mobile"/>
    <x v="0"/>
    <x v="2"/>
    <n v="30000"/>
    <n v="4"/>
    <n v="120000"/>
    <m/>
    <m/>
    <s v="Low"/>
  </r>
  <r>
    <x v="8"/>
    <s v="Table"/>
    <x v="1"/>
    <x v="1"/>
    <n v="12000"/>
    <n v="1"/>
    <n v="12000"/>
    <m/>
    <m/>
    <s v="High"/>
  </r>
  <r>
    <x v="9"/>
    <s v="Headphone"/>
    <x v="0"/>
    <x v="3"/>
    <n v="5000"/>
    <n v="3"/>
    <n v="15000"/>
    <m/>
    <m/>
    <s v="Low"/>
  </r>
  <r>
    <x v="10"/>
    <s v="Laptop"/>
    <x v="0"/>
    <x v="2"/>
    <n v="55000"/>
    <n v="2"/>
    <n v="110000"/>
    <m/>
    <m/>
    <s v="Low"/>
  </r>
  <r>
    <x v="11"/>
    <s v="Chair"/>
    <x v="1"/>
    <x v="3"/>
    <n v="8000"/>
    <n v="5"/>
    <n v="40000"/>
    <m/>
    <m/>
    <s v="High"/>
  </r>
  <r>
    <x v="12"/>
    <s v="Mobile"/>
    <x v="0"/>
    <x v="0"/>
    <n v="30000"/>
    <n v="2"/>
    <n v="60000"/>
    <m/>
    <m/>
    <s v="Low"/>
  </r>
  <r>
    <x v="13"/>
    <s v="Table"/>
    <x v="1"/>
    <x v="2"/>
    <n v="12000"/>
    <n v="3"/>
    <n v="36000"/>
    <m/>
    <m/>
    <s v="High"/>
  </r>
  <r>
    <x v="14"/>
    <s v="Headphone"/>
    <x v="0"/>
    <x v="1"/>
    <n v="5000"/>
    <n v="10"/>
    <n v="50000"/>
    <m/>
    <m/>
    <s v="Low"/>
  </r>
  <r>
    <x v="15"/>
    <s v="Laptop"/>
    <x v="0"/>
    <x v="3"/>
    <n v="55000"/>
    <n v="1"/>
    <n v="55000"/>
    <m/>
    <m/>
    <s v="Low"/>
  </r>
  <r>
    <x v="16"/>
    <s v="Mobile"/>
    <x v="0"/>
    <x v="0"/>
    <n v="30000"/>
    <n v="3"/>
    <n v="90000"/>
    <m/>
    <m/>
    <s v="High"/>
  </r>
  <r>
    <x v="17"/>
    <s v="Chair"/>
    <x v="1"/>
    <x v="1"/>
    <n v="8000"/>
    <n v="4"/>
    <n v="32000"/>
    <m/>
    <m/>
    <s v="High"/>
  </r>
  <r>
    <x v="18"/>
    <s v="Table"/>
    <x v="1"/>
    <x v="3"/>
    <n v="12000"/>
    <n v="2"/>
    <n v="24000"/>
    <m/>
    <m/>
    <s v="Low"/>
  </r>
  <r>
    <x v="19"/>
    <s v="Headphone"/>
    <x v="0"/>
    <x v="2"/>
    <n v="5000"/>
    <n v="6"/>
    <n v="30000"/>
    <m/>
    <m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0B00C-9573-40F6-A1A7-7E1D8CEFC3AF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C6" firstHeaderRow="0" firstDataRow="1" firstDataCol="1"/>
  <pivotFields count="10"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dataField="1" numFmtId="166" showAll="0"/>
    <pivotField dataField="1" showAll="0"/>
    <pivotField numFmtId="166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 numFmtId="166"/>
    <dataField name="Sum of Quantity" fld="5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87F90-CA29-4772-9DFD-C432DC2A5DA7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10">
    <pivotField numFmtId="14"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numFmtId="166" showAll="0"/>
    <pivotField showAll="0"/>
    <pivotField dataField="1" numFmtId="166"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Value" fld="6" baseField="0" baseItem="0" numFmtId="166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D9EB-59E2-40E2-A15E-888411CF74D3}">
  <dimension ref="A1:K23"/>
  <sheetViews>
    <sheetView tabSelected="1" zoomScaleNormal="100" workbookViewId="0">
      <selection activeCell="M7" sqref="M7"/>
    </sheetView>
  </sheetViews>
  <sheetFormatPr defaultRowHeight="14.4" x14ac:dyDescent="0.3"/>
  <cols>
    <col min="1" max="1" width="19.33203125" customWidth="1"/>
    <col min="2" max="2" width="16" customWidth="1"/>
    <col min="3" max="3" width="15.88671875" customWidth="1"/>
    <col min="4" max="4" width="13.77734375" customWidth="1"/>
    <col min="5" max="5" width="12.6640625" customWidth="1"/>
    <col min="6" max="6" width="12" customWidth="1"/>
    <col min="7" max="7" width="14.5546875" customWidth="1"/>
    <col min="8" max="9" width="13.44140625" customWidth="1"/>
    <col min="10" max="10" width="14.77734375" customWidth="1"/>
    <col min="11" max="11" width="21.109375" customWidth="1"/>
  </cols>
  <sheetData>
    <row r="1" spans="1:11" ht="18" x14ac:dyDescent="0.3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1" ht="13.2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18</v>
      </c>
      <c r="H2" s="6" t="s">
        <v>19</v>
      </c>
      <c r="I2" s="3" t="s">
        <v>20</v>
      </c>
      <c r="J2" s="3" t="s">
        <v>21</v>
      </c>
      <c r="K2" s="3"/>
    </row>
    <row r="3" spans="1:11" x14ac:dyDescent="0.3">
      <c r="A3" s="2">
        <v>45292</v>
      </c>
      <c r="B3" s="1" t="s">
        <v>7</v>
      </c>
      <c r="C3" s="1" t="s">
        <v>8</v>
      </c>
      <c r="D3" s="1" t="s">
        <v>9</v>
      </c>
      <c r="E3" s="4">
        <v>55000</v>
      </c>
      <c r="F3" s="1">
        <v>2</v>
      </c>
      <c r="G3" s="5">
        <f>E3*F3</f>
        <v>110000</v>
      </c>
      <c r="H3" s="7">
        <f>SUM(E3:E22)</f>
        <v>440000</v>
      </c>
      <c r="I3" s="8">
        <f>AVERAGE(E3:E22)</f>
        <v>22000</v>
      </c>
      <c r="J3" s="1" t="str">
        <f>IF(E2&gt;20000,"High","Low")</f>
        <v>High</v>
      </c>
    </row>
    <row r="4" spans="1:11" x14ac:dyDescent="0.3">
      <c r="A4" s="2">
        <v>45293</v>
      </c>
      <c r="B4" s="1" t="s">
        <v>10</v>
      </c>
      <c r="C4" s="1" t="s">
        <v>8</v>
      </c>
      <c r="D4" s="1" t="s">
        <v>11</v>
      </c>
      <c r="E4" s="4">
        <v>30000</v>
      </c>
      <c r="F4" s="1">
        <v>3</v>
      </c>
      <c r="G4" s="5">
        <f t="shared" ref="G4:G23" si="0">E4*F4</f>
        <v>90000</v>
      </c>
      <c r="H4" s="7"/>
      <c r="I4" s="8"/>
      <c r="J4" s="1" t="str">
        <f t="shared" ref="J4:J34" si="1">IF(E3&gt;20000,"High","Low")</f>
        <v>High</v>
      </c>
    </row>
    <row r="5" spans="1:11" x14ac:dyDescent="0.3">
      <c r="A5" s="2">
        <v>45294</v>
      </c>
      <c r="B5" s="1" t="s">
        <v>12</v>
      </c>
      <c r="C5" s="1" t="s">
        <v>13</v>
      </c>
      <c r="D5" s="1" t="s">
        <v>14</v>
      </c>
      <c r="E5" s="4">
        <v>8000</v>
      </c>
      <c r="F5" s="1">
        <v>4</v>
      </c>
      <c r="G5" s="5">
        <f t="shared" si="0"/>
        <v>32000</v>
      </c>
      <c r="H5" s="7"/>
      <c r="I5" s="8"/>
      <c r="J5" s="1" t="str">
        <f t="shared" si="1"/>
        <v>High</v>
      </c>
    </row>
    <row r="6" spans="1:11" x14ac:dyDescent="0.3">
      <c r="A6" s="2">
        <v>45295</v>
      </c>
      <c r="B6" s="1" t="s">
        <v>15</v>
      </c>
      <c r="C6" s="1" t="s">
        <v>13</v>
      </c>
      <c r="D6" s="1" t="s">
        <v>16</v>
      </c>
      <c r="E6" s="4">
        <v>12000</v>
      </c>
      <c r="F6" s="1">
        <v>2</v>
      </c>
      <c r="G6" s="5">
        <f t="shared" si="0"/>
        <v>24000</v>
      </c>
      <c r="H6" s="7"/>
      <c r="I6" s="8"/>
      <c r="J6" s="1" t="str">
        <f t="shared" si="1"/>
        <v>Low</v>
      </c>
    </row>
    <row r="7" spans="1:11" x14ac:dyDescent="0.3">
      <c r="A7" s="2">
        <v>45296</v>
      </c>
      <c r="B7" s="1" t="s">
        <v>17</v>
      </c>
      <c r="C7" s="1" t="s">
        <v>8</v>
      </c>
      <c r="D7" s="1" t="s">
        <v>9</v>
      </c>
      <c r="E7" s="4">
        <v>5000</v>
      </c>
      <c r="F7" s="1">
        <v>5</v>
      </c>
      <c r="G7" s="5">
        <f t="shared" si="0"/>
        <v>25000</v>
      </c>
      <c r="H7" s="7"/>
      <c r="I7" s="8"/>
      <c r="J7" s="1" t="str">
        <f t="shared" si="1"/>
        <v>Low</v>
      </c>
    </row>
    <row r="8" spans="1:11" x14ac:dyDescent="0.3">
      <c r="A8" s="2">
        <v>45297</v>
      </c>
      <c r="B8" s="1" t="s">
        <v>7</v>
      </c>
      <c r="C8" s="1" t="s">
        <v>8</v>
      </c>
      <c r="D8" s="1" t="s">
        <v>11</v>
      </c>
      <c r="E8" s="4">
        <v>55000</v>
      </c>
      <c r="F8" s="1">
        <v>1</v>
      </c>
      <c r="G8" s="5">
        <f t="shared" si="0"/>
        <v>55000</v>
      </c>
      <c r="H8" s="7"/>
      <c r="I8" s="8"/>
      <c r="J8" s="1" t="str">
        <f t="shared" si="1"/>
        <v>Low</v>
      </c>
    </row>
    <row r="9" spans="1:11" x14ac:dyDescent="0.3">
      <c r="A9" s="2">
        <v>45298</v>
      </c>
      <c r="B9" s="1" t="s">
        <v>12</v>
      </c>
      <c r="C9" s="1" t="s">
        <v>13</v>
      </c>
      <c r="D9" s="1" t="s">
        <v>9</v>
      </c>
      <c r="E9" s="4">
        <v>8000</v>
      </c>
      <c r="F9" s="1">
        <v>2</v>
      </c>
      <c r="G9" s="5">
        <f t="shared" si="0"/>
        <v>16000</v>
      </c>
      <c r="H9" s="7"/>
      <c r="I9" s="8"/>
      <c r="J9" s="1" t="str">
        <f t="shared" si="1"/>
        <v>High</v>
      </c>
    </row>
    <row r="10" spans="1:11" x14ac:dyDescent="0.3">
      <c r="A10" s="2">
        <v>45299</v>
      </c>
      <c r="B10" s="1" t="s">
        <v>10</v>
      </c>
      <c r="C10" s="1" t="s">
        <v>8</v>
      </c>
      <c r="D10" s="1" t="s">
        <v>14</v>
      </c>
      <c r="E10" s="4">
        <v>30000</v>
      </c>
      <c r="F10" s="1">
        <v>4</v>
      </c>
      <c r="G10" s="5">
        <f t="shared" si="0"/>
        <v>120000</v>
      </c>
      <c r="H10" s="7"/>
      <c r="I10" s="8"/>
      <c r="J10" s="1" t="str">
        <f t="shared" si="1"/>
        <v>Low</v>
      </c>
    </row>
    <row r="11" spans="1:11" x14ac:dyDescent="0.3">
      <c r="A11" s="2">
        <v>45300</v>
      </c>
      <c r="B11" s="1" t="s">
        <v>15</v>
      </c>
      <c r="C11" s="1" t="s">
        <v>13</v>
      </c>
      <c r="D11" s="1" t="s">
        <v>11</v>
      </c>
      <c r="E11" s="4">
        <v>12000</v>
      </c>
      <c r="F11" s="1">
        <v>1</v>
      </c>
      <c r="G11" s="5">
        <f t="shared" si="0"/>
        <v>12000</v>
      </c>
      <c r="H11" s="7"/>
      <c r="I11" s="8"/>
      <c r="J11" s="1" t="str">
        <f t="shared" si="1"/>
        <v>High</v>
      </c>
    </row>
    <row r="12" spans="1:11" x14ac:dyDescent="0.3">
      <c r="A12" s="2">
        <v>45301</v>
      </c>
      <c r="B12" s="1" t="s">
        <v>17</v>
      </c>
      <c r="C12" s="1" t="s">
        <v>8</v>
      </c>
      <c r="D12" s="1" t="s">
        <v>16</v>
      </c>
      <c r="E12" s="4">
        <v>5000</v>
      </c>
      <c r="F12" s="1">
        <v>3</v>
      </c>
      <c r="G12" s="5">
        <f t="shared" si="0"/>
        <v>15000</v>
      </c>
      <c r="H12" s="7"/>
      <c r="I12" s="8"/>
      <c r="J12" s="1" t="str">
        <f t="shared" si="1"/>
        <v>Low</v>
      </c>
    </row>
    <row r="13" spans="1:11" x14ac:dyDescent="0.3">
      <c r="A13" s="2">
        <v>45302</v>
      </c>
      <c r="B13" s="1" t="s">
        <v>7</v>
      </c>
      <c r="C13" s="1" t="s">
        <v>8</v>
      </c>
      <c r="D13" s="1" t="s">
        <v>14</v>
      </c>
      <c r="E13" s="4">
        <v>55000</v>
      </c>
      <c r="F13" s="1">
        <v>2</v>
      </c>
      <c r="G13" s="5">
        <f t="shared" si="0"/>
        <v>110000</v>
      </c>
      <c r="H13" s="7"/>
      <c r="I13" s="8"/>
      <c r="J13" s="1" t="str">
        <f t="shared" si="1"/>
        <v>Low</v>
      </c>
    </row>
    <row r="14" spans="1:11" x14ac:dyDescent="0.3">
      <c r="A14" s="2">
        <v>45303</v>
      </c>
      <c r="B14" s="1" t="s">
        <v>12</v>
      </c>
      <c r="C14" s="1" t="s">
        <v>13</v>
      </c>
      <c r="D14" s="1" t="s">
        <v>16</v>
      </c>
      <c r="E14" s="4">
        <v>8000</v>
      </c>
      <c r="F14" s="1">
        <v>5</v>
      </c>
      <c r="G14" s="5">
        <f t="shared" si="0"/>
        <v>40000</v>
      </c>
      <c r="H14" s="7"/>
      <c r="I14" s="8"/>
      <c r="J14" s="1" t="str">
        <f t="shared" si="1"/>
        <v>High</v>
      </c>
    </row>
    <row r="15" spans="1:11" x14ac:dyDescent="0.3">
      <c r="A15" s="2">
        <v>45304</v>
      </c>
      <c r="B15" s="1" t="s">
        <v>10</v>
      </c>
      <c r="C15" s="1" t="s">
        <v>8</v>
      </c>
      <c r="D15" s="1" t="s">
        <v>9</v>
      </c>
      <c r="E15" s="4">
        <v>30000</v>
      </c>
      <c r="F15" s="1">
        <v>2</v>
      </c>
      <c r="G15" s="5">
        <f t="shared" si="0"/>
        <v>60000</v>
      </c>
      <c r="H15" s="7"/>
      <c r="I15" s="8"/>
      <c r="J15" s="1" t="str">
        <f t="shared" si="1"/>
        <v>Low</v>
      </c>
    </row>
    <row r="16" spans="1:11" x14ac:dyDescent="0.3">
      <c r="A16" s="2">
        <v>45305</v>
      </c>
      <c r="B16" s="1" t="s">
        <v>15</v>
      </c>
      <c r="C16" s="1" t="s">
        <v>13</v>
      </c>
      <c r="D16" s="1" t="s">
        <v>14</v>
      </c>
      <c r="E16" s="4">
        <v>12000</v>
      </c>
      <c r="F16" s="1">
        <v>3</v>
      </c>
      <c r="G16" s="5">
        <f t="shared" si="0"/>
        <v>36000</v>
      </c>
      <c r="H16" s="7"/>
      <c r="I16" s="8"/>
      <c r="J16" s="1" t="str">
        <f t="shared" si="1"/>
        <v>High</v>
      </c>
    </row>
    <row r="17" spans="1:10" x14ac:dyDescent="0.3">
      <c r="A17" s="2">
        <v>45306</v>
      </c>
      <c r="B17" s="1" t="s">
        <v>17</v>
      </c>
      <c r="C17" s="1" t="s">
        <v>8</v>
      </c>
      <c r="D17" s="1" t="s">
        <v>11</v>
      </c>
      <c r="E17" s="4">
        <v>5000</v>
      </c>
      <c r="F17" s="1">
        <v>10</v>
      </c>
      <c r="G17" s="5">
        <f t="shared" si="0"/>
        <v>50000</v>
      </c>
      <c r="H17" s="7"/>
      <c r="I17" s="8"/>
      <c r="J17" s="1" t="str">
        <f t="shared" si="1"/>
        <v>Low</v>
      </c>
    </row>
    <row r="18" spans="1:10" x14ac:dyDescent="0.3">
      <c r="A18" s="2">
        <v>45307</v>
      </c>
      <c r="B18" s="1" t="s">
        <v>7</v>
      </c>
      <c r="C18" s="1" t="s">
        <v>8</v>
      </c>
      <c r="D18" s="1" t="s">
        <v>16</v>
      </c>
      <c r="E18" s="4">
        <v>55000</v>
      </c>
      <c r="F18" s="1">
        <v>1</v>
      </c>
      <c r="G18" s="5">
        <f t="shared" si="0"/>
        <v>55000</v>
      </c>
      <c r="H18" s="7"/>
      <c r="I18" s="8"/>
      <c r="J18" s="1" t="str">
        <f t="shared" si="1"/>
        <v>Low</v>
      </c>
    </row>
    <row r="19" spans="1:10" x14ac:dyDescent="0.3">
      <c r="A19" s="2">
        <v>45308</v>
      </c>
      <c r="B19" s="1" t="s">
        <v>10</v>
      </c>
      <c r="C19" s="1" t="s">
        <v>8</v>
      </c>
      <c r="D19" s="1" t="s">
        <v>9</v>
      </c>
      <c r="E19" s="4">
        <v>30000</v>
      </c>
      <c r="F19" s="1">
        <v>3</v>
      </c>
      <c r="G19" s="5">
        <f t="shared" si="0"/>
        <v>90000</v>
      </c>
      <c r="H19" s="7"/>
      <c r="I19" s="8"/>
      <c r="J19" s="1" t="str">
        <f t="shared" si="1"/>
        <v>High</v>
      </c>
    </row>
    <row r="20" spans="1:10" x14ac:dyDescent="0.3">
      <c r="A20" s="2">
        <v>45309</v>
      </c>
      <c r="B20" s="1" t="s">
        <v>12</v>
      </c>
      <c r="C20" s="1" t="s">
        <v>13</v>
      </c>
      <c r="D20" s="1" t="s">
        <v>11</v>
      </c>
      <c r="E20" s="4">
        <v>8000</v>
      </c>
      <c r="F20" s="1">
        <v>4</v>
      </c>
      <c r="G20" s="5">
        <f t="shared" si="0"/>
        <v>32000</v>
      </c>
      <c r="H20" s="7"/>
      <c r="I20" s="8"/>
      <c r="J20" s="1" t="str">
        <f t="shared" si="1"/>
        <v>High</v>
      </c>
    </row>
    <row r="21" spans="1:10" x14ac:dyDescent="0.3">
      <c r="A21" s="2">
        <v>45310</v>
      </c>
      <c r="B21" s="1" t="s">
        <v>15</v>
      </c>
      <c r="C21" s="1" t="s">
        <v>13</v>
      </c>
      <c r="D21" s="1" t="s">
        <v>16</v>
      </c>
      <c r="E21" s="4">
        <v>12000</v>
      </c>
      <c r="F21" s="1">
        <v>2</v>
      </c>
      <c r="G21" s="5">
        <f t="shared" si="0"/>
        <v>24000</v>
      </c>
      <c r="H21" s="7"/>
      <c r="I21" s="8"/>
      <c r="J21" s="1" t="str">
        <f t="shared" si="1"/>
        <v>Low</v>
      </c>
    </row>
    <row r="22" spans="1:10" x14ac:dyDescent="0.3">
      <c r="A22" s="2">
        <v>45311</v>
      </c>
      <c r="B22" s="1" t="s">
        <v>17</v>
      </c>
      <c r="C22" s="1" t="s">
        <v>8</v>
      </c>
      <c r="D22" s="1" t="s">
        <v>14</v>
      </c>
      <c r="E22" s="4">
        <v>5000</v>
      </c>
      <c r="F22" s="1">
        <v>6</v>
      </c>
      <c r="G22" s="5">
        <f t="shared" si="0"/>
        <v>30000</v>
      </c>
      <c r="H22" s="7"/>
      <c r="I22" s="8"/>
      <c r="J22" s="1" t="str">
        <f t="shared" si="1"/>
        <v>Low</v>
      </c>
    </row>
    <row r="23" spans="1:10" x14ac:dyDescent="0.3">
      <c r="G23" s="5"/>
    </row>
  </sheetData>
  <mergeCells count="3">
    <mergeCell ref="H3:H22"/>
    <mergeCell ref="I3:I22"/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F943-BA89-4EEB-8883-F18EC1B7A882}">
  <dimension ref="A3:C6"/>
  <sheetViews>
    <sheetView zoomScaleNormal="100" workbookViewId="0">
      <selection activeCell="C10" sqref="C10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4.88671875" bestFit="1" customWidth="1"/>
  </cols>
  <sheetData>
    <row r="3" spans="1:3" x14ac:dyDescent="0.3">
      <c r="A3" s="10" t="s">
        <v>22</v>
      </c>
      <c r="B3" t="s">
        <v>24</v>
      </c>
      <c r="C3" t="s">
        <v>25</v>
      </c>
    </row>
    <row r="4" spans="1:3" x14ac:dyDescent="0.3">
      <c r="A4" s="11" t="s">
        <v>8</v>
      </c>
      <c r="B4" s="5">
        <v>360000</v>
      </c>
      <c r="C4" s="12">
        <v>42</v>
      </c>
    </row>
    <row r="5" spans="1:3" x14ac:dyDescent="0.3">
      <c r="A5" s="11" t="s">
        <v>13</v>
      </c>
      <c r="B5" s="5">
        <v>80000</v>
      </c>
      <c r="C5" s="12">
        <v>23</v>
      </c>
    </row>
    <row r="6" spans="1:3" x14ac:dyDescent="0.3">
      <c r="A6" s="11" t="s">
        <v>23</v>
      </c>
      <c r="B6" s="5">
        <v>440000</v>
      </c>
      <c r="C6" s="12">
        <v>65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C4F6-65C9-481A-B16D-5185EFE39E1E}">
  <dimension ref="A3:B8"/>
  <sheetViews>
    <sheetView workbookViewId="0">
      <selection activeCell="N15" sqref="N15"/>
    </sheetView>
  </sheetViews>
  <sheetFormatPr defaultRowHeight="14.4" x14ac:dyDescent="0.3"/>
  <cols>
    <col min="1" max="1" width="15" customWidth="1"/>
    <col min="2" max="2" width="20.6640625" customWidth="1"/>
  </cols>
  <sheetData>
    <row r="3" spans="1:2" x14ac:dyDescent="0.3">
      <c r="A3" s="10" t="s">
        <v>22</v>
      </c>
      <c r="B3" t="s">
        <v>26</v>
      </c>
    </row>
    <row r="4" spans="1:2" x14ac:dyDescent="0.3">
      <c r="A4" s="11" t="s">
        <v>9</v>
      </c>
      <c r="B4" s="5">
        <v>301000</v>
      </c>
    </row>
    <row r="5" spans="1:2" x14ac:dyDescent="0.3">
      <c r="A5" s="11" t="s">
        <v>14</v>
      </c>
      <c r="B5" s="5">
        <v>328000</v>
      </c>
    </row>
    <row r="6" spans="1:2" x14ac:dyDescent="0.3">
      <c r="A6" s="11" t="s">
        <v>16</v>
      </c>
      <c r="B6" s="5">
        <v>158000</v>
      </c>
    </row>
    <row r="7" spans="1:2" x14ac:dyDescent="0.3">
      <c r="A7" s="11" t="s">
        <v>11</v>
      </c>
      <c r="B7" s="5">
        <v>239000</v>
      </c>
    </row>
    <row r="8" spans="1:2" x14ac:dyDescent="0.3">
      <c r="A8" s="11" t="s">
        <v>23</v>
      </c>
      <c r="B8" s="5">
        <v>1026000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MAIN_Data</vt:lpstr>
      <vt:lpstr>Bar chart </vt:lpstr>
      <vt:lpstr>Pie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 Pramanick</dc:creator>
  <cp:lastModifiedBy>Abir Pramanick</cp:lastModifiedBy>
  <dcterms:created xsi:type="dcterms:W3CDTF">2026-01-29T14:29:30Z</dcterms:created>
  <dcterms:modified xsi:type="dcterms:W3CDTF">2026-01-29T15:17:22Z</dcterms:modified>
</cp:coreProperties>
</file>